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dhi\Work\Workbook\Typhoon_HIL\Sandbox\FRT\Inputs\"/>
    </mc:Choice>
  </mc:AlternateContent>
  <xr:revisionPtr revIDLastSave="0" documentId="13_ncr:1_{8F9E292F-CE2A-4ECB-B443-633B4EA3F4BE}" xr6:coauthVersionLast="47" xr6:coauthVersionMax="47" xr10:uidLastSave="{00000000-0000-0000-0000-000000000000}"/>
  <bookViews>
    <workbookView xWindow="32685" yWindow="1380" windowWidth="16980" windowHeight="11385" activeTab="1" xr2:uid="{80880901-41C3-4D0C-B2A6-E861EA3A095A}"/>
  </bookViews>
  <sheets>
    <sheet name="F-FRT_BESF" sheetId="1" r:id="rId1"/>
    <sheet name="F-FRT_BESF_p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/>
  <c r="A22" i="1"/>
  <c r="A21" i="1" s="1"/>
  <c r="A20" i="1"/>
  <c r="A19" i="1"/>
  <c r="A16" i="1"/>
  <c r="A16" i="2"/>
  <c r="A13" i="1"/>
  <c r="A13" i="2" s="1"/>
  <c r="A10" i="1"/>
  <c r="A10" i="2" s="1"/>
  <c r="A7" i="1"/>
  <c r="A6" i="1" s="1"/>
  <c r="A6" i="2" s="1"/>
  <c r="J2" i="1"/>
  <c r="A5" i="1"/>
  <c r="A4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" i="2"/>
  <c r="A3" i="2"/>
  <c r="A4" i="2"/>
  <c r="A5" i="2"/>
  <c r="A7" i="2"/>
  <c r="A2" i="2"/>
  <c r="D26" i="1"/>
  <c r="C26" i="1"/>
  <c r="B27" i="1"/>
  <c r="B26" i="1"/>
  <c r="D25" i="1"/>
  <c r="C25" i="1"/>
  <c r="F25" i="1"/>
  <c r="D23" i="1"/>
  <c r="C23" i="1"/>
  <c r="B23" i="1"/>
  <c r="B24" i="1"/>
  <c r="D22" i="1"/>
  <c r="C22" i="1"/>
  <c r="F22" i="1"/>
  <c r="F7" i="1"/>
  <c r="D20" i="1"/>
  <c r="C20" i="1"/>
  <c r="B20" i="1"/>
  <c r="B21" i="1"/>
  <c r="D19" i="1"/>
  <c r="C19" i="1"/>
  <c r="B18" i="1"/>
  <c r="B17" i="1"/>
  <c r="C17" i="1" s="1"/>
  <c r="D17" i="1" s="1"/>
  <c r="B3" i="1"/>
  <c r="B15" i="1"/>
  <c r="B12" i="1"/>
  <c r="B9" i="1"/>
  <c r="B6" i="1"/>
  <c r="A3" i="1"/>
  <c r="C4" i="1" l="1"/>
  <c r="D4" i="1" s="1"/>
  <c r="F10" i="1"/>
  <c r="A11" i="1" s="1"/>
  <c r="A11" i="2" s="1"/>
  <c r="F13" i="1"/>
  <c r="F16" i="1"/>
  <c r="A17" i="1" s="1"/>
  <c r="C16" i="1"/>
  <c r="D16" i="1" s="1"/>
  <c r="B14" i="1"/>
  <c r="C14" i="1" s="1"/>
  <c r="D14" i="1" s="1"/>
  <c r="C13" i="1"/>
  <c r="D13" i="1" s="1"/>
  <c r="B11" i="1"/>
  <c r="C10" i="1"/>
  <c r="D10" i="1" s="1"/>
  <c r="B8" i="1"/>
  <c r="C8" i="1" s="1"/>
  <c r="D8" i="1" s="1"/>
  <c r="B5" i="1"/>
  <c r="C5" i="1" s="1"/>
  <c r="D5" i="1" s="1"/>
  <c r="C7" i="1"/>
  <c r="D7" i="1" s="1"/>
  <c r="A17" i="2" l="1"/>
  <c r="A18" i="1"/>
  <c r="A15" i="1"/>
  <c r="A15" i="2" s="1"/>
  <c r="A14" i="1"/>
  <c r="A14" i="2" s="1"/>
  <c r="A12" i="1"/>
  <c r="A12" i="2" s="1"/>
  <c r="A8" i="1"/>
  <c r="A8" i="2" s="1"/>
  <c r="A9" i="1"/>
  <c r="A9" i="2" s="1"/>
  <c r="A18" i="2" l="1"/>
  <c r="A26" i="1" l="1"/>
  <c r="A25" i="2"/>
  <c r="A24" i="1"/>
  <c r="A24" i="2" s="1"/>
  <c r="A23" i="1"/>
  <c r="A23" i="2" s="1"/>
  <c r="A22" i="2"/>
  <c r="A21" i="2"/>
  <c r="A19" i="2"/>
  <c r="A20" i="2"/>
  <c r="A26" i="2" l="1"/>
  <c r="A27" i="1"/>
  <c r="A27" i="2" s="1"/>
</calcChain>
</file>

<file path=xl/sharedStrings.xml><?xml version="1.0" encoding="utf-8"?>
<sst xmlns="http://schemas.openxmlformats.org/spreadsheetml/2006/main" count="12" uniqueCount="10">
  <si>
    <t>Time</t>
  </si>
  <si>
    <t>Signal</t>
  </si>
  <si>
    <t>RoCoF [s / Hz]</t>
  </si>
  <si>
    <t>Delta t</t>
  </si>
  <si>
    <t>Delta f</t>
  </si>
  <si>
    <t>Duration</t>
  </si>
  <si>
    <t>Min Delta f</t>
  </si>
  <si>
    <t>Cycles</t>
  </si>
  <si>
    <t>F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</si>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</sst>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7201-12FA-4036-A9E6-B78FD4ECE13D}">
  <dimension ref="A1:J27"/>
  <sheetViews>
    <sheetView topLeftCell="A6" workbookViewId="0">
      <selection activeCell="A26" sqref="A26"/>
    </sheetView>
  </sheetViews>
  <sheetFormatPr defaultRowHeight="15" x14ac:dyDescent="0.25"/>
  <cols>
    <col min="4" max="4" width="15.140625" customWidth="1"/>
    <col min="6" max="6" width="13.28515625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3</v>
      </c>
      <c r="E1" t="s">
        <v>5</v>
      </c>
      <c r="F1" t="s">
        <v>2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0</v>
      </c>
      <c r="B2" s="2">
        <v>50</v>
      </c>
      <c r="F2" s="2">
        <v>0.4</v>
      </c>
      <c r="G2" s="2">
        <v>0.1</v>
      </c>
      <c r="H2">
        <v>2</v>
      </c>
      <c r="I2">
        <v>50</v>
      </c>
      <c r="J2">
        <f>H2/I2</f>
        <v>0.04</v>
      </c>
    </row>
    <row r="3" spans="1:10" x14ac:dyDescent="0.25">
      <c r="A3" s="1">
        <f>A2+D3</f>
        <v>1</v>
      </c>
      <c r="B3">
        <f>B2</f>
        <v>50</v>
      </c>
      <c r="D3" s="2">
        <v>1</v>
      </c>
    </row>
    <row r="4" spans="1:10" x14ac:dyDescent="0.25">
      <c r="A4">
        <f>A3+D4</f>
        <v>2.2000000000000002</v>
      </c>
      <c r="B4" s="2">
        <v>47</v>
      </c>
      <c r="C4">
        <f>B3-B4</f>
        <v>3</v>
      </c>
      <c r="D4">
        <f>C4*F2</f>
        <v>1.2000000000000002</v>
      </c>
    </row>
    <row r="5" spans="1:10" x14ac:dyDescent="0.25">
      <c r="A5">
        <f>A4+D5</f>
        <v>2.2400000000000007</v>
      </c>
      <c r="B5">
        <f>B6</f>
        <v>46.9</v>
      </c>
      <c r="C5">
        <f>B4-B5</f>
        <v>0.10000000000000142</v>
      </c>
      <c r="D5">
        <f>C5*F2</f>
        <v>4.000000000000057E-2</v>
      </c>
    </row>
    <row r="6" spans="1:10" x14ac:dyDescent="0.25">
      <c r="A6">
        <f>A7+D7</f>
        <v>2.3199999999999998</v>
      </c>
      <c r="B6">
        <f>B7-G2</f>
        <v>46.9</v>
      </c>
    </row>
    <row r="7" spans="1:10" x14ac:dyDescent="0.25">
      <c r="A7">
        <f>A3+F7+E7-J2</f>
        <v>2.3600000000000003</v>
      </c>
      <c r="B7" s="2">
        <v>47</v>
      </c>
      <c r="C7">
        <f>B6-B7</f>
        <v>-0.10000000000000142</v>
      </c>
      <c r="D7">
        <f>C7*F2</f>
        <v>-4.000000000000057E-2</v>
      </c>
      <c r="E7" s="2">
        <v>0.2</v>
      </c>
      <c r="F7">
        <f>(B$3-B4)*$F$2</f>
        <v>1.2000000000000002</v>
      </c>
    </row>
    <row r="8" spans="1:10" x14ac:dyDescent="0.25">
      <c r="A8">
        <f>A7-D8</f>
        <v>2.5199999999999996</v>
      </c>
      <c r="B8">
        <f>B9</f>
        <v>47.4</v>
      </c>
      <c r="C8">
        <f>B7-B8</f>
        <v>-0.39999999999999858</v>
      </c>
      <c r="D8">
        <f>C8*F2</f>
        <v>-0.15999999999999945</v>
      </c>
    </row>
    <row r="9" spans="1:10" x14ac:dyDescent="0.25">
      <c r="A9">
        <f>A10+D10</f>
        <v>7.919999999999999</v>
      </c>
      <c r="B9">
        <f>B10-G2</f>
        <v>47.4</v>
      </c>
    </row>
    <row r="10" spans="1:10" x14ac:dyDescent="0.25">
      <c r="A10">
        <f>A3+F10+E10-J2</f>
        <v>7.96</v>
      </c>
      <c r="B10" s="2">
        <v>47.5</v>
      </c>
      <c r="C10">
        <f>B9-B10</f>
        <v>-0.10000000000000142</v>
      </c>
      <c r="D10">
        <f>C10*F2</f>
        <v>-4.000000000000057E-2</v>
      </c>
      <c r="E10" s="2">
        <v>6</v>
      </c>
      <c r="F10">
        <f t="shared" ref="F10:F16" si="0">(B$3-B10)*$F$2</f>
        <v>1</v>
      </c>
    </row>
    <row r="11" spans="1:10" x14ac:dyDescent="0.25">
      <c r="A11">
        <f>A10+0.16</f>
        <v>8.1199999999999992</v>
      </c>
      <c r="B11">
        <f>B12</f>
        <v>47.9</v>
      </c>
    </row>
    <row r="12" spans="1:10" x14ac:dyDescent="0.25">
      <c r="A12">
        <f>A13+D13</f>
        <v>11.72</v>
      </c>
      <c r="B12">
        <f>B13-G2</f>
        <v>47.9</v>
      </c>
    </row>
    <row r="13" spans="1:10" x14ac:dyDescent="0.25">
      <c r="A13">
        <f>A3+F13+E13-J2</f>
        <v>11.760000000000002</v>
      </c>
      <c r="B13" s="2">
        <v>48</v>
      </c>
      <c r="C13">
        <f>B12-B13</f>
        <v>-0.10000000000000142</v>
      </c>
      <c r="D13">
        <f>C13*F2</f>
        <v>-4.000000000000057E-2</v>
      </c>
      <c r="E13" s="2">
        <v>10</v>
      </c>
      <c r="F13">
        <f t="shared" si="0"/>
        <v>0.8</v>
      </c>
    </row>
    <row r="14" spans="1:10" x14ac:dyDescent="0.25">
      <c r="A14">
        <f>A13-D14</f>
        <v>12.120000000000001</v>
      </c>
      <c r="B14">
        <f>B15</f>
        <v>48.9</v>
      </c>
      <c r="C14">
        <f>B13-B14</f>
        <v>-0.89999999999999858</v>
      </c>
      <c r="D14">
        <f>C14*F2</f>
        <v>-0.35999999999999943</v>
      </c>
    </row>
    <row r="15" spans="1:10" x14ac:dyDescent="0.25">
      <c r="A15">
        <f>A16+D16</f>
        <v>61.32</v>
      </c>
      <c r="B15">
        <f>B16-G2</f>
        <v>48.9</v>
      </c>
    </row>
    <row r="16" spans="1:10" x14ac:dyDescent="0.25">
      <c r="A16">
        <f>A3+F16+E16-J2</f>
        <v>61.36</v>
      </c>
      <c r="B16" s="2">
        <v>49</v>
      </c>
      <c r="C16">
        <f>B15-B16</f>
        <v>-0.10000000000000142</v>
      </c>
      <c r="D16">
        <f>C16*F2</f>
        <v>-4.000000000000057E-2</v>
      </c>
      <c r="E16" s="2">
        <v>60</v>
      </c>
      <c r="F16">
        <f t="shared" si="0"/>
        <v>0.4</v>
      </c>
    </row>
    <row r="17" spans="1:6" x14ac:dyDescent="0.25">
      <c r="A17">
        <f>A16-D17</f>
        <v>61.76</v>
      </c>
      <c r="B17">
        <f>B2</f>
        <v>50</v>
      </c>
      <c r="C17">
        <f>B16-B17</f>
        <v>-1</v>
      </c>
      <c r="D17">
        <f>C17*F2</f>
        <v>-0.4</v>
      </c>
    </row>
    <row r="18" spans="1:6" x14ac:dyDescent="0.25">
      <c r="A18" s="1">
        <f>A17+D18</f>
        <v>62.96</v>
      </c>
      <c r="B18">
        <f>B17</f>
        <v>50</v>
      </c>
      <c r="D18" s="2">
        <v>1.2</v>
      </c>
    </row>
    <row r="19" spans="1:6" x14ac:dyDescent="0.25">
      <c r="A19">
        <f>A18-D19</f>
        <v>63.56</v>
      </c>
      <c r="B19" s="2">
        <v>51.5</v>
      </c>
      <c r="C19">
        <f>B18-B19</f>
        <v>-1.5</v>
      </c>
      <c r="D19">
        <f>C19*F2</f>
        <v>-0.60000000000000009</v>
      </c>
    </row>
    <row r="20" spans="1:6" x14ac:dyDescent="0.25">
      <c r="A20">
        <f>A19-D20</f>
        <v>63.6</v>
      </c>
      <c r="B20">
        <f>B21</f>
        <v>51.6</v>
      </c>
      <c r="C20">
        <f>B19-B20</f>
        <v>-0.10000000000000142</v>
      </c>
      <c r="D20">
        <f>C20*F2</f>
        <v>-4.000000000000057E-2</v>
      </c>
    </row>
    <row r="21" spans="1:6" x14ac:dyDescent="0.25">
      <c r="A21">
        <f>A22-D22</f>
        <v>67.47999999999999</v>
      </c>
      <c r="B21">
        <f>B22+G2</f>
        <v>51.6</v>
      </c>
    </row>
    <row r="22" spans="1:6" x14ac:dyDescent="0.25">
      <c r="A22">
        <f>A18-F22+E22-J2</f>
        <v>67.52</v>
      </c>
      <c r="B22" s="2">
        <v>51.5</v>
      </c>
      <c r="C22">
        <f>B21-B22</f>
        <v>0.10000000000000142</v>
      </c>
      <c r="D22">
        <f>C22*F2</f>
        <v>4.000000000000057E-2</v>
      </c>
      <c r="E22" s="2">
        <v>4</v>
      </c>
      <c r="F22">
        <f>(B$18-B22)*$F$2</f>
        <v>-0.60000000000000009</v>
      </c>
    </row>
    <row r="23" spans="1:6" x14ac:dyDescent="0.25">
      <c r="A23">
        <f>A22+D23</f>
        <v>67.679999999999993</v>
      </c>
      <c r="B23">
        <f>B24</f>
        <v>51.1</v>
      </c>
      <c r="C23">
        <f>B22-B23</f>
        <v>0.39999999999999858</v>
      </c>
      <c r="D23">
        <f>C23*F2</f>
        <v>0.15999999999999945</v>
      </c>
    </row>
    <row r="24" spans="1:6" x14ac:dyDescent="0.25">
      <c r="A24">
        <f>A25-C25</f>
        <v>123.22</v>
      </c>
      <c r="B24">
        <f>B25+G2</f>
        <v>51.1</v>
      </c>
    </row>
    <row r="25" spans="1:6" x14ac:dyDescent="0.25">
      <c r="A25">
        <f>A18-F25+E25-J2</f>
        <v>123.32</v>
      </c>
      <c r="B25" s="2">
        <v>51</v>
      </c>
      <c r="C25">
        <f>B24-B25</f>
        <v>0.10000000000000142</v>
      </c>
      <c r="D25">
        <f>C25*F2</f>
        <v>4.000000000000057E-2</v>
      </c>
      <c r="E25" s="2">
        <v>60</v>
      </c>
      <c r="F25">
        <f>(B$18-B25)*$F$2</f>
        <v>-0.4</v>
      </c>
    </row>
    <row r="26" spans="1:6" x14ac:dyDescent="0.25">
      <c r="A26">
        <f>A25+D26</f>
        <v>123.72</v>
      </c>
      <c r="B26">
        <f>B2</f>
        <v>50</v>
      </c>
      <c r="C26">
        <f>B25-B26</f>
        <v>1</v>
      </c>
      <c r="D26">
        <f>C26*F2</f>
        <v>0.4</v>
      </c>
    </row>
    <row r="27" spans="1:6" x14ac:dyDescent="0.25">
      <c r="A27">
        <f>A26+D27</f>
        <v>124.92</v>
      </c>
      <c r="B27">
        <f>B26</f>
        <v>50</v>
      </c>
      <c r="D27" s="2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2E4C-2668-4650-8C2F-B33DC8B6DBCC}">
  <dimension ref="A1:G29"/>
  <sheetViews>
    <sheetView tabSelected="1" workbookViewId="0">
      <selection activeCell="E8" sqref="E8"/>
    </sheetView>
  </sheetViews>
  <sheetFormatPr defaultRowHeight="15" x14ac:dyDescent="0.25"/>
  <cols>
    <col min="4" max="4" width="15.140625" customWidth="1"/>
    <col min="6" max="6" width="13.28515625" customWidth="1"/>
  </cols>
  <sheetData>
    <row r="1" spans="1:7" x14ac:dyDescent="0.25">
      <c r="A1" t="s">
        <v>0</v>
      </c>
      <c r="B1" t="s">
        <v>1</v>
      </c>
    </row>
    <row r="2" spans="1:7" x14ac:dyDescent="0.25">
      <c r="A2">
        <f>'F-FRT_BESF'!A2</f>
        <v>0</v>
      </c>
      <c r="B2">
        <f>'F-FRT_BESF'!B2/50</f>
        <v>1</v>
      </c>
      <c r="F2" s="1"/>
      <c r="G2" s="1"/>
    </row>
    <row r="3" spans="1:7" x14ac:dyDescent="0.25">
      <c r="A3">
        <f>'F-FRT_BESF'!A3</f>
        <v>1</v>
      </c>
      <c r="B3">
        <f>'F-FRT_BESF'!B3/50</f>
        <v>1</v>
      </c>
      <c r="D3" s="1"/>
    </row>
    <row r="4" spans="1:7" x14ac:dyDescent="0.25">
      <c r="A4">
        <f>'F-FRT_BESF'!A4</f>
        <v>2.2000000000000002</v>
      </c>
      <c r="B4">
        <f>'F-FRT_BESF'!B4/50</f>
        <v>0.94</v>
      </c>
    </row>
    <row r="5" spans="1:7" x14ac:dyDescent="0.25">
      <c r="A5">
        <f>'F-FRT_BESF'!A5</f>
        <v>2.2400000000000007</v>
      </c>
      <c r="B5">
        <f>'F-FRT_BESF'!B5/50</f>
        <v>0.93799999999999994</v>
      </c>
    </row>
    <row r="6" spans="1:7" x14ac:dyDescent="0.25">
      <c r="A6">
        <f>'F-FRT_BESF'!A6</f>
        <v>2.3199999999999998</v>
      </c>
      <c r="B6">
        <f>'F-FRT_BESF'!B6/50</f>
        <v>0.93799999999999994</v>
      </c>
    </row>
    <row r="7" spans="1:7" x14ac:dyDescent="0.25">
      <c r="A7">
        <f>'F-FRT_BESF'!A7</f>
        <v>2.3600000000000003</v>
      </c>
      <c r="B7">
        <f>'F-FRT_BESF'!B7/50</f>
        <v>0.94</v>
      </c>
      <c r="E7" s="1"/>
    </row>
    <row r="8" spans="1:7" x14ac:dyDescent="0.25">
      <c r="A8">
        <f>'F-FRT_BESF'!A8</f>
        <v>2.5199999999999996</v>
      </c>
      <c r="B8">
        <f>'F-FRT_BESF'!B8/50</f>
        <v>0.94799999999999995</v>
      </c>
    </row>
    <row r="9" spans="1:7" x14ac:dyDescent="0.25">
      <c r="A9">
        <f>'F-FRT_BESF'!A9</f>
        <v>7.919999999999999</v>
      </c>
      <c r="B9">
        <f>'F-FRT_BESF'!B9/50</f>
        <v>0.94799999999999995</v>
      </c>
    </row>
    <row r="10" spans="1:7" x14ac:dyDescent="0.25">
      <c r="A10">
        <f>'F-FRT_BESF'!A10</f>
        <v>7.96</v>
      </c>
      <c r="B10">
        <f>'F-FRT_BESF'!B10/50</f>
        <v>0.95</v>
      </c>
      <c r="E10" s="1"/>
    </row>
    <row r="11" spans="1:7" x14ac:dyDescent="0.25">
      <c r="A11">
        <f>'F-FRT_BESF'!A11</f>
        <v>8.1199999999999992</v>
      </c>
      <c r="B11">
        <f>'F-FRT_BESF'!B11/50</f>
        <v>0.95799999999999996</v>
      </c>
    </row>
    <row r="12" spans="1:7" x14ac:dyDescent="0.25">
      <c r="A12">
        <f>'F-FRT_BESF'!A12</f>
        <v>11.72</v>
      </c>
      <c r="B12">
        <f>'F-FRT_BESF'!B12/50</f>
        <v>0.95799999999999996</v>
      </c>
    </row>
    <row r="13" spans="1:7" x14ac:dyDescent="0.25">
      <c r="A13">
        <f>'F-FRT_BESF'!A13</f>
        <v>11.760000000000002</v>
      </c>
      <c r="B13">
        <f>'F-FRT_BESF'!B13/50</f>
        <v>0.96</v>
      </c>
      <c r="E13" s="1"/>
    </row>
    <row r="14" spans="1:7" x14ac:dyDescent="0.25">
      <c r="A14">
        <f>'F-FRT_BESF'!A14</f>
        <v>12.120000000000001</v>
      </c>
      <c r="B14">
        <f>'F-FRT_BESF'!B14/50</f>
        <v>0.97799999999999998</v>
      </c>
    </row>
    <row r="15" spans="1:7" x14ac:dyDescent="0.25">
      <c r="A15">
        <f>'F-FRT_BESF'!A15</f>
        <v>61.32</v>
      </c>
      <c r="B15">
        <f>'F-FRT_BESF'!B15/50</f>
        <v>0.97799999999999998</v>
      </c>
    </row>
    <row r="16" spans="1:7" x14ac:dyDescent="0.25">
      <c r="A16">
        <f>'F-FRT_BESF'!A16</f>
        <v>61.36</v>
      </c>
      <c r="B16">
        <f>'F-FRT_BESF'!B16/50</f>
        <v>0.98</v>
      </c>
      <c r="E16" s="1"/>
    </row>
    <row r="17" spans="1:5" x14ac:dyDescent="0.25">
      <c r="A17">
        <f>'F-FRT_BESF'!A17</f>
        <v>61.76</v>
      </c>
      <c r="B17">
        <f>'F-FRT_BESF'!B17/50</f>
        <v>1</v>
      </c>
    </row>
    <row r="18" spans="1:5" x14ac:dyDescent="0.25">
      <c r="A18">
        <f>'F-FRT_BESF'!A18</f>
        <v>62.96</v>
      </c>
      <c r="B18">
        <f>'F-FRT_BESF'!B18/50</f>
        <v>1</v>
      </c>
      <c r="D18" s="1"/>
    </row>
    <row r="19" spans="1:5" x14ac:dyDescent="0.25">
      <c r="A19">
        <f>'F-FRT_BESF'!A19</f>
        <v>63.56</v>
      </c>
      <c r="B19">
        <f>'F-FRT_BESF'!B19/50</f>
        <v>1.03</v>
      </c>
    </row>
    <row r="20" spans="1:5" x14ac:dyDescent="0.25">
      <c r="A20">
        <f>'F-FRT_BESF'!A20</f>
        <v>63.6</v>
      </c>
      <c r="B20">
        <f>'F-FRT_BESF'!B20/50</f>
        <v>1.032</v>
      </c>
    </row>
    <row r="21" spans="1:5" x14ac:dyDescent="0.25">
      <c r="A21">
        <f>'F-FRT_BESF'!A21</f>
        <v>67.47999999999999</v>
      </c>
      <c r="B21">
        <f>'F-FRT_BESF'!B21/50</f>
        <v>1.032</v>
      </c>
    </row>
    <row r="22" spans="1:5" x14ac:dyDescent="0.25">
      <c r="A22">
        <f>'F-FRT_BESF'!A22</f>
        <v>67.52</v>
      </c>
      <c r="B22">
        <f>'F-FRT_BESF'!B22/50</f>
        <v>1.03</v>
      </c>
      <c r="E22" s="1"/>
    </row>
    <row r="23" spans="1:5" x14ac:dyDescent="0.25">
      <c r="A23">
        <f>'F-FRT_BESF'!A23</f>
        <v>67.679999999999993</v>
      </c>
      <c r="B23">
        <f>'F-FRT_BESF'!B23/50</f>
        <v>1.022</v>
      </c>
    </row>
    <row r="24" spans="1:5" x14ac:dyDescent="0.25">
      <c r="A24">
        <f>'F-FRT_BESF'!A24</f>
        <v>123.22</v>
      </c>
      <c r="B24">
        <f>'F-FRT_BESF'!B24/50</f>
        <v>1.022</v>
      </c>
    </row>
    <row r="25" spans="1:5" x14ac:dyDescent="0.25">
      <c r="A25">
        <f>'F-FRT_BESF'!A25</f>
        <v>123.32</v>
      </c>
      <c r="B25">
        <f>'F-FRT_BESF'!B25/50</f>
        <v>1.02</v>
      </c>
      <c r="E25" s="1"/>
    </row>
    <row r="26" spans="1:5" x14ac:dyDescent="0.25">
      <c r="A26">
        <f>'F-FRT_BESF'!A26</f>
        <v>123.72</v>
      </c>
      <c r="B26">
        <f>'F-FRT_BESF'!B26/50</f>
        <v>1</v>
      </c>
    </row>
    <row r="27" spans="1:5" x14ac:dyDescent="0.25">
      <c r="A27">
        <f>'F-FRT_BESF'!A27</f>
        <v>124.92</v>
      </c>
      <c r="B27">
        <f>'F-FRT_BESF'!B27/50</f>
        <v>1</v>
      </c>
      <c r="D27" s="1"/>
    </row>
    <row r="28" spans="1:5" x14ac:dyDescent="0.25">
      <c r="A28" s="1"/>
    </row>
    <row r="29" spans="1:5" x14ac:dyDescent="0.25">
      <c r="A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F-FRT_BESF</vt:lpstr>
      <vt:lpstr>F-FRT_BESF_pu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Judhi</dc:creator>
  <cp:lastModifiedBy>Rens, J, Mej [22558578@sun.ac.za]</cp:lastModifiedBy>
  <dcterms:created xsi:type="dcterms:W3CDTF">2026-03-04T08:52:27Z</dcterms:created>
  <dcterms:modified xsi:type="dcterms:W3CDTF">2026-03-09T09:42:30Z</dcterms:modified>
</cp:coreProperties>
</file>